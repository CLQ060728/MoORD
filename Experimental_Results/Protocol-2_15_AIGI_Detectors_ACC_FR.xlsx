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ORKSPACE\GIT\MoORD\Experimental_Results\"/>
    </mc:Choice>
  </mc:AlternateContent>
  <xr:revisionPtr revIDLastSave="0" documentId="13_ncr:1_{234811FF-C05D-432D-AFD8-21731F5E7520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C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16" i="1"/>
  <c r="O11" i="1"/>
  <c r="O10" i="1"/>
  <c r="O9" i="1"/>
  <c r="O8" i="1"/>
  <c r="O7" i="1"/>
  <c r="O4" i="1"/>
  <c r="O6" i="1"/>
  <c r="O5" i="1"/>
  <c r="O17" i="1"/>
  <c r="O15" i="1"/>
  <c r="O14" i="1"/>
  <c r="O12" i="1"/>
  <c r="O13" i="1"/>
</calcChain>
</file>

<file path=xl/sharedStrings.xml><?xml version="1.0" encoding="utf-8"?>
<sst xmlns="http://schemas.openxmlformats.org/spreadsheetml/2006/main" count="31" uniqueCount="31">
  <si>
    <t>Models</t>
  </si>
  <si>
    <t>Avg.</t>
  </si>
  <si>
    <t>CNN-Spot</t>
  </si>
  <si>
    <t>Patchfor</t>
  </si>
  <si>
    <t>Co-occurrence</t>
  </si>
  <si>
    <t>Freq-spec</t>
  </si>
  <si>
    <r>
      <t>F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Net</t>
    </r>
  </si>
  <si>
    <t>UniFD</t>
  </si>
  <si>
    <t>LGrad</t>
  </si>
  <si>
    <t>FreqNet</t>
  </si>
  <si>
    <t>NPR</t>
  </si>
  <si>
    <t>FatFormer</t>
  </si>
  <si>
    <t>Xception</t>
  </si>
  <si>
    <t>MoE-FFD</t>
  </si>
  <si>
    <t>Effort</t>
  </si>
  <si>
    <t>MoORD (Ours)</t>
  </si>
  <si>
    <t>DCL</t>
  </si>
  <si>
    <t>FOMM</t>
  </si>
  <si>
    <t>FS_vid2vid</t>
  </si>
  <si>
    <t>Wav2Lip</t>
  </si>
  <si>
    <t>MRAA</t>
  </si>
  <si>
    <t>OneShot</t>
  </si>
  <si>
    <t>PIRender</t>
  </si>
  <si>
    <t>TPSMM</t>
  </si>
  <si>
    <t>LIA</t>
  </si>
  <si>
    <t>DaGAN</t>
  </si>
  <si>
    <t>SadTalker</t>
  </si>
  <si>
    <t>MCNet</t>
  </si>
  <si>
    <t>HyperReenact</t>
  </si>
  <si>
    <t>HeyGen</t>
  </si>
  <si>
    <t>Face Reenactment (FR)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</si>
</sst>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theme="1"/>
      </bottom>
      <diagonal/>
    </border>
    <border>
      <left/>
      <right/>
      <top style="thick">
        <color theme="1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C17" sqref="C17"/>
    </sheetView>
  </sheetViews>
  <sheetFormatPr defaultRowHeight="15" x14ac:dyDescent="0.55000000000000004"/>
  <cols>
    <col min="1" max="1" width="19.5234375" style="1" customWidth="1"/>
    <col min="2" max="2" width="16.62890625" style="1" customWidth="1"/>
    <col min="3" max="7" width="15.68359375" style="1" customWidth="1"/>
    <col min="8" max="9" width="15.62890625" style="1" customWidth="1"/>
    <col min="10" max="12" width="14.9453125" style="1" customWidth="1"/>
    <col min="13" max="14" width="17.734375" style="1" customWidth="1"/>
    <col min="15" max="15" width="20" style="1" customWidth="1"/>
  </cols>
  <sheetData>
    <row r="1" spans="1:16" ht="35.4" customHeight="1" thickTop="1" thickBot="1" x14ac:dyDescent="0.6">
      <c r="A1" s="15" t="s">
        <v>0</v>
      </c>
      <c r="B1" s="12" t="s">
        <v>30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  <c r="O1" s="17" t="s">
        <v>1</v>
      </c>
      <c r="P1" s="4"/>
    </row>
    <row r="2" spans="1:16" ht="18.3" thickTop="1" thickBot="1" x14ac:dyDescent="0.6">
      <c r="A2" s="16"/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11" t="s">
        <v>26</v>
      </c>
      <c r="L2" s="11" t="s">
        <v>27</v>
      </c>
      <c r="M2" s="2" t="s">
        <v>28</v>
      </c>
      <c r="N2" s="9" t="s">
        <v>29</v>
      </c>
      <c r="O2" s="18"/>
      <c r="P2" s="4"/>
    </row>
    <row r="3" spans="1:16" ht="20.05" customHeight="1" thickTop="1" thickBot="1" x14ac:dyDescent="0.6">
      <c r="A3" s="5" t="s">
        <v>2</v>
      </c>
      <c r="B3" s="19">
        <v>0.42596365254241308</v>
      </c>
      <c r="C3" s="20">
        <v>0.37983351952777622</v>
      </c>
      <c r="D3" s="20">
        <v>0.38118050421962313</v>
      </c>
      <c r="E3" s="21">
        <v>0.42834121500462385</v>
      </c>
      <c r="F3" s="20">
        <v>0.37418092857805829</v>
      </c>
      <c r="G3" s="21">
        <v>0.38020720956652065</v>
      </c>
      <c r="H3" s="21">
        <v>0.42232793989244471</v>
      </c>
      <c r="I3" s="21">
        <v>0.37666488982503588</v>
      </c>
      <c r="J3" s="20">
        <v>0.35222129279062092</v>
      </c>
      <c r="K3" s="22">
        <v>0.416994300237094</v>
      </c>
      <c r="L3" s="22">
        <v>0.38634228986966701</v>
      </c>
      <c r="M3" s="21">
        <v>0.41098527482702801</v>
      </c>
      <c r="N3" s="22">
        <v>0.37695636830468687</v>
      </c>
      <c r="O3" s="19">
        <f t="shared" ref="O3:O17" si="0">(B3+N3)/2</f>
        <v>0.40146001042354995</v>
      </c>
      <c r="P3" s="4"/>
    </row>
    <row r="4" spans="1:16" ht="20.05" customHeight="1" thickTop="1" thickBot="1" x14ac:dyDescent="0.6">
      <c r="A4" s="6" t="s">
        <v>3</v>
      </c>
      <c r="B4" s="23">
        <v>0.44384289740659916</v>
      </c>
      <c r="C4" s="20">
        <v>0.38632744469654412</v>
      </c>
      <c r="D4" s="22">
        <v>0.41114814231073854</v>
      </c>
      <c r="E4" s="24">
        <v>0.43774856385637828</v>
      </c>
      <c r="F4" s="22">
        <v>0.42325153365583301</v>
      </c>
      <c r="G4" s="24">
        <v>0.39206647459927796</v>
      </c>
      <c r="H4" s="24">
        <v>0.39953549647513076</v>
      </c>
      <c r="I4" s="24">
        <v>0.4192299465124385</v>
      </c>
      <c r="J4" s="22">
        <v>0.40498479357271133</v>
      </c>
      <c r="K4" s="24">
        <v>0.38163271507988805</v>
      </c>
      <c r="L4" s="24">
        <v>0.42605183222019699</v>
      </c>
      <c r="M4" s="24">
        <v>0.40498968076912145</v>
      </c>
      <c r="N4" s="25">
        <v>0.44472204777316693</v>
      </c>
      <c r="O4" s="23">
        <f t="shared" si="0"/>
        <v>0.44428247258988307</v>
      </c>
      <c r="P4" s="4"/>
    </row>
    <row r="5" spans="1:16" ht="20.05" customHeight="1" thickTop="1" thickBot="1" x14ac:dyDescent="0.6">
      <c r="A5" s="8" t="s">
        <v>4</v>
      </c>
      <c r="B5" s="26">
        <v>0.34183164330055898</v>
      </c>
      <c r="C5" s="22">
        <v>0.43035847591724707</v>
      </c>
      <c r="D5" s="27">
        <v>0.35141874054998595</v>
      </c>
      <c r="E5" s="27">
        <v>0.40634132036228288</v>
      </c>
      <c r="F5" s="27">
        <v>0.41703679860462767</v>
      </c>
      <c r="G5" s="27">
        <v>0.4281561632192058</v>
      </c>
      <c r="H5" s="27">
        <v>0.37231398930662163</v>
      </c>
      <c r="I5" s="27">
        <v>0.37944596433640554</v>
      </c>
      <c r="J5" s="27">
        <v>0.39340158518956092</v>
      </c>
      <c r="K5" s="27">
        <v>0.41364572210431216</v>
      </c>
      <c r="L5" s="27">
        <v>0.41298887907640047</v>
      </c>
      <c r="M5" s="27">
        <v>0.38975645329417258</v>
      </c>
      <c r="N5" s="25">
        <v>0.37697919592441026</v>
      </c>
      <c r="O5" s="28">
        <f t="shared" si="0"/>
        <v>0.35940541961248462</v>
      </c>
      <c r="P5" s="4"/>
    </row>
    <row r="6" spans="1:16" ht="20.05" customHeight="1" thickTop="1" thickBot="1" x14ac:dyDescent="0.6">
      <c r="A6" s="7" t="s">
        <v>5</v>
      </c>
      <c r="B6" s="19">
        <v>0.41940454625178636</v>
      </c>
      <c r="C6" s="29">
        <v>0.46657853812434208</v>
      </c>
      <c r="D6" s="29">
        <v>0.43676891528817929</v>
      </c>
      <c r="E6" s="29">
        <v>0.39739782279569003</v>
      </c>
      <c r="F6" s="29">
        <v>0.43153373401215006</v>
      </c>
      <c r="G6" s="29">
        <v>0.43196214683715684</v>
      </c>
      <c r="H6" s="29">
        <v>0.41827818700978942</v>
      </c>
      <c r="I6" s="29">
        <v>0.38812609527900926</v>
      </c>
      <c r="J6" s="29">
        <v>0.45345528875332292</v>
      </c>
      <c r="K6" s="29">
        <v>0.42009995415929002</v>
      </c>
      <c r="L6" s="29">
        <v>0.40806715812300709</v>
      </c>
      <c r="M6" s="29">
        <v>0.46165504187685691</v>
      </c>
      <c r="N6" s="30">
        <v>0.41862578209435924</v>
      </c>
      <c r="O6" s="28">
        <f t="shared" si="0"/>
        <v>0.41901516417307283</v>
      </c>
      <c r="P6" s="4"/>
    </row>
    <row r="7" spans="1:16" ht="20.05" customHeight="1" thickTop="1" thickBot="1" x14ac:dyDescent="0.6">
      <c r="A7" s="5" t="s">
        <v>6</v>
      </c>
      <c r="B7" s="26">
        <v>0.4107607611951381</v>
      </c>
      <c r="C7" s="27">
        <v>0.47595413733119118</v>
      </c>
      <c r="D7" s="27">
        <v>0.47558883470501906</v>
      </c>
      <c r="E7" s="27">
        <v>0.44995613429721082</v>
      </c>
      <c r="F7" s="27">
        <v>0.43593871748680574</v>
      </c>
      <c r="G7" s="27">
        <v>0.49286407258099818</v>
      </c>
      <c r="H7" s="27">
        <v>0.42800592797564607</v>
      </c>
      <c r="I7" s="27">
        <v>0.44111825924877202</v>
      </c>
      <c r="J7" s="27">
        <v>0.49655938626626461</v>
      </c>
      <c r="K7" s="27">
        <v>0.41753453426230608</v>
      </c>
      <c r="L7" s="27">
        <v>0.47988185441867953</v>
      </c>
      <c r="M7" s="27">
        <v>0.45226412749976441</v>
      </c>
      <c r="N7" s="29">
        <v>0.49187684737380738</v>
      </c>
      <c r="O7" s="26">
        <f t="shared" si="0"/>
        <v>0.45131880428447274</v>
      </c>
      <c r="P7" s="4"/>
    </row>
    <row r="8" spans="1:16" ht="20.05" customHeight="1" thickTop="1" thickBot="1" x14ac:dyDescent="0.6">
      <c r="A8" s="5" t="s">
        <v>7</v>
      </c>
      <c r="B8" s="19">
        <v>0.55607208726123203</v>
      </c>
      <c r="C8" s="29">
        <v>0.57717818598049986</v>
      </c>
      <c r="D8" s="29">
        <v>0.57894406548765076</v>
      </c>
      <c r="E8" s="29">
        <v>0.55449330289464049</v>
      </c>
      <c r="F8" s="29">
        <v>0.5524561584772314</v>
      </c>
      <c r="G8" s="29">
        <v>0.56776779794061205</v>
      </c>
      <c r="H8" s="29">
        <v>0.56851210906662086</v>
      </c>
      <c r="I8" s="29">
        <v>0.56429755683553728</v>
      </c>
      <c r="J8" s="29">
        <v>0.55753764304909181</v>
      </c>
      <c r="K8" s="29">
        <v>0.56556219632638305</v>
      </c>
      <c r="L8" s="29">
        <v>0.56480920040985461</v>
      </c>
      <c r="M8" s="29">
        <v>0.57453563428614096</v>
      </c>
      <c r="N8" s="30">
        <v>0.57629463830334005</v>
      </c>
      <c r="O8" s="31">
        <f t="shared" si="0"/>
        <v>0.56618336278228609</v>
      </c>
      <c r="P8" s="4"/>
    </row>
    <row r="9" spans="1:16" ht="20.05" customHeight="1" thickTop="1" thickBot="1" x14ac:dyDescent="0.6">
      <c r="A9" s="8" t="s">
        <v>8</v>
      </c>
      <c r="B9" s="23">
        <v>0.34987234525732436</v>
      </c>
      <c r="C9" s="22">
        <v>0.44599548484428087</v>
      </c>
      <c r="D9" s="22">
        <v>0.43212696651233579</v>
      </c>
      <c r="E9" s="22">
        <v>0.33329352743617757</v>
      </c>
      <c r="F9" s="22">
        <v>0.35337504056759922</v>
      </c>
      <c r="G9" s="22">
        <v>0.36203077555950591</v>
      </c>
      <c r="H9" s="22">
        <v>0.40620383469325866</v>
      </c>
      <c r="I9" s="22">
        <v>0.35585472878353108</v>
      </c>
      <c r="J9" s="22">
        <v>0.3361349066718971</v>
      </c>
      <c r="K9" s="22">
        <v>0.41013295918339998</v>
      </c>
      <c r="L9" s="22">
        <v>0.37770183877269825</v>
      </c>
      <c r="M9" s="22">
        <v>0.37577402454344133</v>
      </c>
      <c r="N9" s="30">
        <v>0.38466653215301716</v>
      </c>
      <c r="O9" s="23">
        <f t="shared" si="0"/>
        <v>0.36726943870517076</v>
      </c>
      <c r="P9" s="4"/>
    </row>
    <row r="10" spans="1:16" ht="20.05" customHeight="1" thickTop="1" thickBot="1" x14ac:dyDescent="0.6">
      <c r="A10" s="8" t="s">
        <v>9</v>
      </c>
      <c r="B10" s="19">
        <v>0.4102018217755044</v>
      </c>
      <c r="C10" s="29">
        <v>0.45841695463896287</v>
      </c>
      <c r="D10" s="29">
        <v>0.3979170448289705</v>
      </c>
      <c r="E10" s="29">
        <v>0.39681134907394433</v>
      </c>
      <c r="F10" s="29">
        <v>0.46003028098649823</v>
      </c>
      <c r="G10" s="29">
        <v>0.44088039524841505</v>
      </c>
      <c r="H10" s="29">
        <v>0.4236620510852111</v>
      </c>
      <c r="I10" s="29">
        <v>0.46069085747516547</v>
      </c>
      <c r="J10" s="29">
        <v>0.44401975571007934</v>
      </c>
      <c r="K10" s="29">
        <v>0.43504103248539483</v>
      </c>
      <c r="L10" s="29">
        <v>0.48703337756622606</v>
      </c>
      <c r="M10" s="29">
        <v>0.38999804796161802</v>
      </c>
      <c r="N10" s="30">
        <v>0.44606767327762104</v>
      </c>
      <c r="O10" s="19">
        <f t="shared" si="0"/>
        <v>0.42813474752656272</v>
      </c>
      <c r="P10" s="4"/>
    </row>
    <row r="11" spans="1:16" ht="20.05" customHeight="1" thickTop="1" thickBot="1" x14ac:dyDescent="0.6">
      <c r="A11" s="7" t="s">
        <v>10</v>
      </c>
      <c r="B11" s="19">
        <v>0.536364884458433</v>
      </c>
      <c r="C11" s="29">
        <v>0.57920394748864401</v>
      </c>
      <c r="D11" s="29">
        <v>0.53894980967879824</v>
      </c>
      <c r="E11" s="29">
        <v>0.54154823580080358</v>
      </c>
      <c r="F11" s="29">
        <v>0.53866501864410765</v>
      </c>
      <c r="G11" s="29">
        <v>0.55669411941642299</v>
      </c>
      <c r="H11" s="29">
        <v>0.57509641933941147</v>
      </c>
      <c r="I11" s="29">
        <v>0.57949816418862188</v>
      </c>
      <c r="J11" s="29">
        <v>0.53662200602225285</v>
      </c>
      <c r="K11" s="29">
        <v>0.56626351760539473</v>
      </c>
      <c r="L11" s="29">
        <v>0.55455068840119559</v>
      </c>
      <c r="M11" s="29">
        <v>0.54753481636088219</v>
      </c>
      <c r="N11" s="30">
        <v>0.57044301950978393</v>
      </c>
      <c r="O11" s="19">
        <f t="shared" si="0"/>
        <v>0.55340395198410852</v>
      </c>
      <c r="P11" s="4"/>
    </row>
    <row r="12" spans="1:16" ht="20.05" customHeight="1" thickTop="1" thickBot="1" x14ac:dyDescent="0.6">
      <c r="A12" s="6" t="s">
        <v>11</v>
      </c>
      <c r="B12" s="22">
        <v>0.56877891024466054</v>
      </c>
      <c r="C12" s="22">
        <v>0.58297303941431378</v>
      </c>
      <c r="D12" s="22">
        <v>0.52359784595956549</v>
      </c>
      <c r="E12" s="22">
        <v>0.55128051455076421</v>
      </c>
      <c r="F12" s="22">
        <v>0.53423299451010364</v>
      </c>
      <c r="G12" s="22">
        <v>0.54477077957852305</v>
      </c>
      <c r="H12" s="22">
        <v>0.5745647158947792</v>
      </c>
      <c r="I12" s="22">
        <v>0.54585049472214986</v>
      </c>
      <c r="J12" s="22">
        <v>0.56335210036480032</v>
      </c>
      <c r="K12" s="22">
        <v>0.52924920213560867</v>
      </c>
      <c r="L12" s="22">
        <v>0.58204056328687725</v>
      </c>
      <c r="M12" s="22">
        <v>0.57713933182980226</v>
      </c>
      <c r="N12" s="30">
        <v>0.55054241011393701</v>
      </c>
      <c r="O12" s="23">
        <f t="shared" si="0"/>
        <v>0.55966066017929883</v>
      </c>
      <c r="P12" s="4"/>
    </row>
    <row r="13" spans="1:16" ht="20.05" customHeight="1" thickTop="1" thickBot="1" x14ac:dyDescent="0.6">
      <c r="A13" s="6" t="s">
        <v>12</v>
      </c>
      <c r="B13" s="19">
        <v>0.35961936173227299</v>
      </c>
      <c r="C13" s="29">
        <v>0.46069195517856465</v>
      </c>
      <c r="D13" s="29">
        <v>0.44815513211408142</v>
      </c>
      <c r="E13" s="29">
        <v>0.44962081073721666</v>
      </c>
      <c r="F13" s="29">
        <v>0.41074712328865925</v>
      </c>
      <c r="G13" s="29">
        <v>0.36260033199532421</v>
      </c>
      <c r="H13" s="29">
        <v>0.46568506270549664</v>
      </c>
      <c r="I13" s="29">
        <v>0.36227083739199917</v>
      </c>
      <c r="J13" s="29">
        <v>0.45743280378112827</v>
      </c>
      <c r="K13" s="29">
        <v>0.41425285429221925</v>
      </c>
      <c r="L13" s="29">
        <v>0.41119026989815022</v>
      </c>
      <c r="M13" s="29">
        <v>0.38671797860744372</v>
      </c>
      <c r="N13" s="30">
        <v>0.35348862532575404</v>
      </c>
      <c r="O13" s="31">
        <f t="shared" si="0"/>
        <v>0.35655399352901351</v>
      </c>
      <c r="P13" s="4"/>
    </row>
    <row r="14" spans="1:16" ht="20.05" customHeight="1" thickTop="1" thickBot="1" x14ac:dyDescent="0.6">
      <c r="A14" s="6" t="s">
        <v>13</v>
      </c>
      <c r="B14" s="22">
        <v>0.56700229271286728</v>
      </c>
      <c r="C14" s="22">
        <v>0.54903765559630424</v>
      </c>
      <c r="D14" s="22">
        <v>0.54435227845523015</v>
      </c>
      <c r="E14" s="22">
        <v>0.5729194989650287</v>
      </c>
      <c r="F14" s="22">
        <v>0.55905051231131608</v>
      </c>
      <c r="G14" s="22">
        <v>0.58158900008155445</v>
      </c>
      <c r="H14" s="22">
        <v>0.55321384477693292</v>
      </c>
      <c r="I14" s="22">
        <v>0.5776197665912276</v>
      </c>
      <c r="J14" s="22">
        <v>0.56397148050322088</v>
      </c>
      <c r="K14" s="22">
        <v>0.56730248621892299</v>
      </c>
      <c r="L14" s="22">
        <v>0.56311047688665206</v>
      </c>
      <c r="M14" s="22">
        <v>0.57643358552073698</v>
      </c>
      <c r="N14" s="30">
        <v>0.58292762478266813</v>
      </c>
      <c r="O14" s="31">
        <f t="shared" si="0"/>
        <v>0.57496495874776765</v>
      </c>
    </row>
    <row r="15" spans="1:16" ht="20.05" customHeight="1" thickTop="1" thickBot="1" x14ac:dyDescent="0.6">
      <c r="A15" s="6" t="s">
        <v>14</v>
      </c>
      <c r="B15" s="19">
        <v>0.61973029584593664</v>
      </c>
      <c r="C15" s="29">
        <v>0.6204758815418977</v>
      </c>
      <c r="D15" s="29">
        <v>0.62578779167419718</v>
      </c>
      <c r="E15" s="29">
        <v>0.63215980792440074</v>
      </c>
      <c r="F15" s="29">
        <v>0.60316501730666572</v>
      </c>
      <c r="G15" s="29">
        <v>0.61770216762927943</v>
      </c>
      <c r="H15" s="29">
        <v>0.63709256774936962</v>
      </c>
      <c r="I15" s="29">
        <v>0.61098206331540539</v>
      </c>
      <c r="J15" s="29">
        <v>0.60285567392888928</v>
      </c>
      <c r="K15" s="29">
        <v>0.62904402562317019</v>
      </c>
      <c r="L15" s="29">
        <v>0.62071373991987799</v>
      </c>
      <c r="M15" s="29">
        <v>0.60040534868109841</v>
      </c>
      <c r="N15" s="30">
        <v>0.62838348360067176</v>
      </c>
      <c r="O15" s="19">
        <f t="shared" si="0"/>
        <v>0.6240568897233042</v>
      </c>
      <c r="P15" s="4"/>
    </row>
    <row r="16" spans="1:16" ht="20.05" customHeight="1" thickTop="1" thickBot="1" x14ac:dyDescent="0.6">
      <c r="A16" s="6" t="s">
        <v>16</v>
      </c>
      <c r="B16" s="19">
        <v>0.55543983969267863</v>
      </c>
      <c r="C16" s="29">
        <v>0.55179001200971833</v>
      </c>
      <c r="D16" s="29">
        <v>0.55516314789664323</v>
      </c>
      <c r="E16" s="29">
        <v>0.56100327311960052</v>
      </c>
      <c r="F16" s="29">
        <v>0.57901160250557548</v>
      </c>
      <c r="G16" s="29">
        <v>0.55446278552371298</v>
      </c>
      <c r="H16" s="29">
        <v>0.57141646927133305</v>
      </c>
      <c r="I16" s="29">
        <v>0.57549055982276065</v>
      </c>
      <c r="J16" s="29">
        <v>0.57943693802085572</v>
      </c>
      <c r="K16" s="29">
        <v>0.56184931932145854</v>
      </c>
      <c r="L16" s="29">
        <v>0.56460314538427847</v>
      </c>
      <c r="M16" s="29">
        <v>0.56071269565347848</v>
      </c>
      <c r="N16" s="30">
        <v>0.54186492288526578</v>
      </c>
      <c r="O16" s="23">
        <f t="shared" si="0"/>
        <v>0.5486523812889722</v>
      </c>
      <c r="P16" s="4"/>
    </row>
    <row r="17" spans="1:16" ht="20.05" customHeight="1" thickTop="1" thickBot="1" x14ac:dyDescent="0.6">
      <c r="A17" s="10" t="s">
        <v>15</v>
      </c>
      <c r="B17" s="32">
        <v>0.63394855306766973</v>
      </c>
      <c r="C17" s="33">
        <v>0.65883436507674209</v>
      </c>
      <c r="D17" s="33">
        <v>0.64513903717119869</v>
      </c>
      <c r="E17" s="33">
        <v>0.65699121204391886</v>
      </c>
      <c r="F17" s="33">
        <v>0.65772051277569465</v>
      </c>
      <c r="G17" s="33">
        <v>0.64537421872530176</v>
      </c>
      <c r="H17" s="33">
        <v>0.64051479518270982</v>
      </c>
      <c r="I17" s="33">
        <v>0.65507606422944398</v>
      </c>
      <c r="J17" s="33">
        <v>0.64893643440809301</v>
      </c>
      <c r="K17" s="33">
        <v>0.64643245984767028</v>
      </c>
      <c r="L17" s="33">
        <v>0.64097484348942591</v>
      </c>
      <c r="M17" s="33">
        <v>0.65482133951243948</v>
      </c>
      <c r="N17" s="34">
        <v>0.63812309505328879</v>
      </c>
      <c r="O17" s="35">
        <f t="shared" si="0"/>
        <v>0.63603582406047932</v>
      </c>
      <c r="P17" s="4"/>
    </row>
    <row r="18" spans="1:16" ht="15.3" thickTop="1" x14ac:dyDescent="0.5500000000000000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</sheetData>
  <mergeCells count="3">
    <mergeCell ref="B1:N1"/>
    <mergeCell ref="A1:A2"/>
    <mergeCell ref="O1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CLQ0728</dc:creator>
  <cp:lastModifiedBy>Qian Liu</cp:lastModifiedBy>
  <dcterms:created xsi:type="dcterms:W3CDTF">2015-06-05T18:19:34Z</dcterms:created>
  <dcterms:modified xsi:type="dcterms:W3CDTF">2025-11-20T20:17:33Z</dcterms:modified>
</cp:coreProperties>
</file>