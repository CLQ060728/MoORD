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GIT\MoORD\Experimental_Results\"/>
    </mc:Choice>
  </mc:AlternateContent>
  <xr:revisionPtr revIDLastSave="0" documentId="13_ncr:1_{9C166C71-DF6E-41EB-8BEB-88FB80FF5EE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CC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3" i="1"/>
</calcChain>
</file>

<file path=xl/sharedStrings.xml><?xml version="1.0" encoding="utf-8"?>
<sst xmlns="http://schemas.openxmlformats.org/spreadsheetml/2006/main" count="30" uniqueCount="30">
  <si>
    <t>Models</t>
  </si>
  <si>
    <t>Avg.</t>
  </si>
  <si>
    <t>CNN-Spot</t>
  </si>
  <si>
    <t>Patchfor</t>
  </si>
  <si>
    <t>Co-occurrence</t>
  </si>
  <si>
    <t>Freq-spec</t>
  </si>
  <si>
    <r>
      <t>F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Net</t>
    </r>
  </si>
  <si>
    <t>UniFD</t>
  </si>
  <si>
    <t>LGrad</t>
  </si>
  <si>
    <t>FreqNet</t>
  </si>
  <si>
    <t>NPR</t>
  </si>
  <si>
    <t>FatFormer</t>
  </si>
  <si>
    <t>Xception</t>
  </si>
  <si>
    <t>MoE-FFD</t>
  </si>
  <si>
    <t>Effort</t>
  </si>
  <si>
    <t>MoORD (Ours)</t>
  </si>
  <si>
    <t>DCL</t>
  </si>
  <si>
    <t>Entire Face Synthesis (EFS)</t>
  </si>
  <si>
    <t>VQGAN</t>
  </si>
  <si>
    <t>StyleGAN2</t>
  </si>
  <si>
    <t>StyleGAN3</t>
  </si>
  <si>
    <t>StyleGAN-XL</t>
  </si>
  <si>
    <t>SD-2.1</t>
  </si>
  <si>
    <t>DDPM</t>
  </si>
  <si>
    <t>RDDM</t>
  </si>
  <si>
    <t>PixArt-α</t>
  </si>
  <si>
    <t>DiT-XL/2</t>
  </si>
  <si>
    <t>SiT-XL/2</t>
  </si>
  <si>
    <t>MidJounery6</t>
  </si>
  <si>
    <t>WhichisReal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</si>
</sst>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theme="1"/>
      </bottom>
      <diagonal/>
    </border>
    <border>
      <left style="thick">
        <color indexed="64"/>
      </left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8" xfId="0" applyBorder="1"/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N15" sqref="N15"/>
    </sheetView>
  </sheetViews>
  <sheetFormatPr defaultRowHeight="15" x14ac:dyDescent="0.55000000000000004"/>
  <cols>
    <col min="1" max="1" width="19.5234375" style="1" customWidth="1"/>
    <col min="2" max="2" width="16.62890625" style="1" customWidth="1"/>
    <col min="3" max="7" width="15.68359375" style="1" customWidth="1"/>
    <col min="8" max="9" width="15.62890625" style="1" customWidth="1"/>
    <col min="10" max="11" width="14.9453125" style="1" customWidth="1"/>
    <col min="12" max="12" width="16.05078125" style="1" customWidth="1"/>
    <col min="13" max="13" width="19.62890625" style="1" customWidth="1"/>
    <col min="14" max="14" width="20" style="1" customWidth="1"/>
  </cols>
  <sheetData>
    <row r="1" spans="1:15" ht="35.4" customHeight="1" thickTop="1" thickBot="1" x14ac:dyDescent="0.6">
      <c r="A1" s="21" t="s">
        <v>0</v>
      </c>
      <c r="B1" s="18" t="s">
        <v>17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20"/>
      <c r="N1" s="23" t="s">
        <v>1</v>
      </c>
      <c r="O1" s="4"/>
    </row>
    <row r="2" spans="1:15" ht="18.3" thickTop="1" thickBot="1" x14ac:dyDescent="0.6">
      <c r="A2" s="22"/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10" t="s">
        <v>29</v>
      </c>
      <c r="N2" s="24"/>
      <c r="O2" s="4"/>
    </row>
    <row r="3" spans="1:15" ht="20.05" customHeight="1" thickTop="1" thickBot="1" x14ac:dyDescent="0.6">
      <c r="A3" s="6" t="s">
        <v>2</v>
      </c>
      <c r="B3" s="25">
        <v>0.24468207343552437</v>
      </c>
      <c r="C3" s="26">
        <v>0.25325268927018568</v>
      </c>
      <c r="D3" s="26">
        <v>0.2460096601139915</v>
      </c>
      <c r="E3" s="27">
        <v>0.19288205182352963</v>
      </c>
      <c r="F3" s="26">
        <v>0.25787213997563452</v>
      </c>
      <c r="G3" s="27">
        <v>0.29705338474718723</v>
      </c>
      <c r="H3" s="27">
        <v>0.21842884896888756</v>
      </c>
      <c r="I3" s="27">
        <v>0.20162089805245687</v>
      </c>
      <c r="J3" s="26">
        <v>0.20045183120441018</v>
      </c>
      <c r="K3" s="26">
        <v>0.23504188041080393</v>
      </c>
      <c r="L3" s="15">
        <v>0.26700000000000002</v>
      </c>
      <c r="M3" s="1">
        <v>0.23</v>
      </c>
      <c r="N3" s="25">
        <f>(B3+C3+D3+E3+F3+G3+H3+I3+J3+K3+L3+M3)/12</f>
        <v>0.23702462150021764</v>
      </c>
      <c r="O3" s="4"/>
    </row>
    <row r="4" spans="1:15" ht="20.05" customHeight="1" thickTop="1" thickBot="1" x14ac:dyDescent="0.6">
      <c r="A4" s="7" t="s">
        <v>3</v>
      </c>
      <c r="B4" s="28">
        <v>0.37720924645273063</v>
      </c>
      <c r="C4" s="26">
        <v>0.36071210563782563</v>
      </c>
      <c r="D4" s="29">
        <v>0.35309490181941761</v>
      </c>
      <c r="E4" s="30">
        <v>0.39382582208378647</v>
      </c>
      <c r="F4" s="29">
        <v>0.38285922087207963</v>
      </c>
      <c r="G4" s="30">
        <v>0.36375021397034552</v>
      </c>
      <c r="H4" s="30">
        <v>0.3989165009807053</v>
      </c>
      <c r="I4" s="26">
        <v>0.39916633697978121</v>
      </c>
      <c r="J4" s="29">
        <v>0.35400627613247793</v>
      </c>
      <c r="K4" s="29">
        <v>0.39493971607227601</v>
      </c>
      <c r="L4" s="16">
        <v>0.38</v>
      </c>
      <c r="M4" s="5">
        <v>0.376</v>
      </c>
      <c r="N4" s="25">
        <f t="shared" ref="N4:N17" si="0">(B4+C4+D4+E4+F4+G4+H4+I4+J4+K4+L4+M4)/12</f>
        <v>0.37787336175011887</v>
      </c>
      <c r="O4" s="4"/>
    </row>
    <row r="5" spans="1:15" ht="20.05" customHeight="1" thickTop="1" thickBot="1" x14ac:dyDescent="0.6">
      <c r="A5" s="9" t="s">
        <v>4</v>
      </c>
      <c r="B5" s="31">
        <v>0.20978777976132898</v>
      </c>
      <c r="C5" s="29">
        <v>0.19023190640729587</v>
      </c>
      <c r="D5" s="32">
        <v>0.16784654678077426</v>
      </c>
      <c r="E5" s="32">
        <v>0.24972224122897624</v>
      </c>
      <c r="F5" s="32">
        <v>0.2702802349271719</v>
      </c>
      <c r="G5" s="32">
        <v>0.21104396419103688</v>
      </c>
      <c r="H5" s="32">
        <v>0.24536384084130575</v>
      </c>
      <c r="I5" s="29">
        <v>0.25979239061240039</v>
      </c>
      <c r="J5" s="32">
        <v>0.29599488473720947</v>
      </c>
      <c r="K5" s="32">
        <v>0.21314377771068443</v>
      </c>
      <c r="L5" s="3">
        <v>0.3</v>
      </c>
      <c r="M5" s="5">
        <v>0.28799999999999998</v>
      </c>
      <c r="N5" s="25">
        <f t="shared" si="0"/>
        <v>0.24176729726651533</v>
      </c>
      <c r="O5" s="4"/>
    </row>
    <row r="6" spans="1:15" ht="20.05" customHeight="1" thickTop="1" thickBot="1" x14ac:dyDescent="0.6">
      <c r="A6" s="8" t="s">
        <v>5</v>
      </c>
      <c r="B6" s="25">
        <v>0.18454503033241437</v>
      </c>
      <c r="C6" s="33">
        <v>0.22706512661479014</v>
      </c>
      <c r="D6" s="33">
        <v>0.23057990867558287</v>
      </c>
      <c r="E6" s="33">
        <v>0.16415042240666003</v>
      </c>
      <c r="F6" s="33">
        <v>0.1204872595162622</v>
      </c>
      <c r="G6" s="33">
        <v>0.16053514472860919</v>
      </c>
      <c r="H6" s="33">
        <v>0.17943699399060858</v>
      </c>
      <c r="I6" s="33">
        <v>0.15252454120108289</v>
      </c>
      <c r="J6" s="33">
        <v>0.11110223025146936</v>
      </c>
      <c r="K6" s="33">
        <v>0.24592577047362163</v>
      </c>
      <c r="L6" s="12">
        <v>0.29899999999999999</v>
      </c>
      <c r="M6" s="12">
        <v>0.26700000000000002</v>
      </c>
      <c r="N6" s="25">
        <f t="shared" si="0"/>
        <v>0.19519603568259172</v>
      </c>
      <c r="O6" s="4"/>
    </row>
    <row r="7" spans="1:15" ht="20.05" customHeight="1" thickTop="1" thickBot="1" x14ac:dyDescent="0.6">
      <c r="A7" s="6" t="s">
        <v>6</v>
      </c>
      <c r="B7" s="31">
        <v>0.14272083433703819</v>
      </c>
      <c r="C7" s="32">
        <v>0.30464034544403656</v>
      </c>
      <c r="D7" s="32">
        <v>0.22871922190716282</v>
      </c>
      <c r="E7" s="32">
        <v>0.16351408924613037</v>
      </c>
      <c r="F7" s="32">
        <v>0.16260016049528786</v>
      </c>
      <c r="G7" s="32">
        <v>0.17365330173359211</v>
      </c>
      <c r="H7" s="32">
        <v>0.16140084679648098</v>
      </c>
      <c r="I7" s="32">
        <v>0.2104277632127492</v>
      </c>
      <c r="J7" s="32">
        <v>0.28222901206281609</v>
      </c>
      <c r="K7" s="32">
        <v>0.30533480186277739</v>
      </c>
      <c r="L7" s="3">
        <v>0.28599999999999998</v>
      </c>
      <c r="M7" s="12">
        <v>0.24299999999999999</v>
      </c>
      <c r="N7" s="25">
        <f t="shared" si="0"/>
        <v>0.22202003142483928</v>
      </c>
      <c r="O7" s="4"/>
    </row>
    <row r="8" spans="1:15" ht="20.05" customHeight="1" thickTop="1" thickBot="1" x14ac:dyDescent="0.6">
      <c r="A8" s="6" t="s">
        <v>7</v>
      </c>
      <c r="B8" s="25">
        <v>0.57959359314296777</v>
      </c>
      <c r="C8" s="33">
        <v>0.56833786366229566</v>
      </c>
      <c r="D8" s="33">
        <v>0.53818296587579117</v>
      </c>
      <c r="E8" s="33">
        <v>0.57154740316357677</v>
      </c>
      <c r="F8" s="33">
        <v>0.59245990512059021</v>
      </c>
      <c r="G8" s="33">
        <v>0.54295770929078901</v>
      </c>
      <c r="H8" s="33">
        <v>0.55585299853012149</v>
      </c>
      <c r="I8" s="33">
        <v>0.5841187673486633</v>
      </c>
      <c r="J8" s="33">
        <v>0.52893051627383625</v>
      </c>
      <c r="K8" s="33">
        <v>0.5908244316926492</v>
      </c>
      <c r="L8" s="12">
        <v>0.57499999999999996</v>
      </c>
      <c r="M8" s="11">
        <v>0.53300000000000003</v>
      </c>
      <c r="N8" s="25">
        <f t="shared" si="0"/>
        <v>0.5634005128417735</v>
      </c>
      <c r="O8" s="4"/>
    </row>
    <row r="9" spans="1:15" ht="20.05" customHeight="1" thickTop="1" thickBot="1" x14ac:dyDescent="0.6">
      <c r="A9" s="9" t="s">
        <v>8</v>
      </c>
      <c r="B9" s="28">
        <v>0.33769630906263437</v>
      </c>
      <c r="C9" s="29">
        <v>0.34637896149106534</v>
      </c>
      <c r="D9" s="29">
        <v>0.2956806700491792</v>
      </c>
      <c r="E9" s="29">
        <v>0.32271081735073948</v>
      </c>
      <c r="F9" s="29">
        <v>0.30788362829691784</v>
      </c>
      <c r="G9" s="29">
        <v>0.34011260659431175</v>
      </c>
      <c r="H9" s="29">
        <v>0.33115747722559563</v>
      </c>
      <c r="I9" s="29">
        <v>0.29660353968982384</v>
      </c>
      <c r="J9" s="29">
        <v>0.30834408075816572</v>
      </c>
      <c r="K9" s="29">
        <v>0.33932208149871257</v>
      </c>
      <c r="L9" s="1">
        <v>0.312</v>
      </c>
      <c r="M9" s="11">
        <v>0.309</v>
      </c>
      <c r="N9" s="25">
        <f t="shared" si="0"/>
        <v>0.32057418100142882</v>
      </c>
      <c r="O9" s="4"/>
    </row>
    <row r="10" spans="1:15" ht="20.05" customHeight="1" thickTop="1" thickBot="1" x14ac:dyDescent="0.6">
      <c r="A10" s="9" t="s">
        <v>9</v>
      </c>
      <c r="B10" s="25">
        <v>0.30600569529634514</v>
      </c>
      <c r="C10" s="33">
        <v>0.33368518763518284</v>
      </c>
      <c r="D10" s="33">
        <v>0.3303488751315074</v>
      </c>
      <c r="E10" s="33">
        <v>0.30667967110755007</v>
      </c>
      <c r="F10" s="33">
        <v>0.33764037276634196</v>
      </c>
      <c r="G10" s="33">
        <v>0.32604958816231405</v>
      </c>
      <c r="H10" s="33">
        <v>0.2756829450670677</v>
      </c>
      <c r="I10" s="33">
        <v>0.34949421673914932</v>
      </c>
      <c r="J10" s="33">
        <v>0.33340840424625812</v>
      </c>
      <c r="K10" s="33">
        <v>0.32864290787173422</v>
      </c>
      <c r="L10" s="12">
        <v>0.32</v>
      </c>
      <c r="M10" s="11">
        <v>0.29599999999999999</v>
      </c>
      <c r="N10" s="25">
        <f t="shared" si="0"/>
        <v>0.32030315533528753</v>
      </c>
      <c r="O10" s="4"/>
    </row>
    <row r="11" spans="1:15" ht="20.05" customHeight="1" thickTop="1" thickBot="1" x14ac:dyDescent="0.6">
      <c r="A11" s="8" t="s">
        <v>10</v>
      </c>
      <c r="B11" s="25">
        <v>0.61681276474870195</v>
      </c>
      <c r="C11" s="33">
        <v>0.5570221588390718</v>
      </c>
      <c r="D11" s="33">
        <v>0.54871018993578158</v>
      </c>
      <c r="E11" s="33">
        <v>0.57332537345699541</v>
      </c>
      <c r="F11" s="33">
        <v>0.52328199489924954</v>
      </c>
      <c r="G11" s="33">
        <v>0.58767531852280785</v>
      </c>
      <c r="H11" s="33">
        <v>0.60505746352081302</v>
      </c>
      <c r="I11" s="33">
        <v>0.54499167976228746</v>
      </c>
      <c r="J11" s="33">
        <v>0.54291679360360456</v>
      </c>
      <c r="K11" s="33">
        <v>0.61378964190651564</v>
      </c>
      <c r="L11" s="12">
        <v>0.61099999999999999</v>
      </c>
      <c r="M11" s="11">
        <v>0.57999999999999996</v>
      </c>
      <c r="N11" s="25">
        <f t="shared" si="0"/>
        <v>0.57538194826631917</v>
      </c>
      <c r="O11" s="4"/>
    </row>
    <row r="12" spans="1:15" ht="20.05" customHeight="1" thickTop="1" thickBot="1" x14ac:dyDescent="0.6">
      <c r="A12" s="7" t="s">
        <v>11</v>
      </c>
      <c r="B12" s="29">
        <v>0.56372053234412367</v>
      </c>
      <c r="C12" s="29">
        <v>0.55150306579291852</v>
      </c>
      <c r="D12" s="29">
        <v>0.60137145321518914</v>
      </c>
      <c r="E12" s="29">
        <v>0.5439883310160919</v>
      </c>
      <c r="F12" s="29">
        <v>0.61741167972369049</v>
      </c>
      <c r="G12" s="29">
        <v>0.58209524300104543</v>
      </c>
      <c r="H12" s="29">
        <v>0.53607908570344109</v>
      </c>
      <c r="I12" s="29">
        <v>0.6020984138961849</v>
      </c>
      <c r="J12" s="29">
        <v>0.54005430581753788</v>
      </c>
      <c r="K12" s="29">
        <v>0.61936716906290334</v>
      </c>
      <c r="L12" s="1">
        <v>0.53900000000000003</v>
      </c>
      <c r="M12" s="11">
        <v>0.57199999999999995</v>
      </c>
      <c r="N12" s="25">
        <f t="shared" si="0"/>
        <v>0.57239077329776056</v>
      </c>
      <c r="O12" s="4"/>
    </row>
    <row r="13" spans="1:15" ht="20.05" customHeight="1" thickTop="1" thickBot="1" x14ac:dyDescent="0.6">
      <c r="A13" s="7" t="s">
        <v>12</v>
      </c>
      <c r="B13" s="25">
        <v>0.33049262048531597</v>
      </c>
      <c r="C13" s="33">
        <v>0.37821583301344663</v>
      </c>
      <c r="D13" s="33">
        <v>0.36101939616204393</v>
      </c>
      <c r="E13" s="33">
        <v>0.38767367917705825</v>
      </c>
      <c r="F13" s="33">
        <v>0.34778086723638485</v>
      </c>
      <c r="G13" s="33">
        <v>0.33597252358394619</v>
      </c>
      <c r="H13" s="33">
        <v>0.32831205823745718</v>
      </c>
      <c r="I13" s="33">
        <v>0.32070441506755604</v>
      </c>
      <c r="J13" s="33">
        <v>0.350811934784793</v>
      </c>
      <c r="K13" s="33">
        <v>0.3969725218011888</v>
      </c>
      <c r="L13" s="12">
        <v>0.379</v>
      </c>
      <c r="M13" s="11">
        <v>0.375</v>
      </c>
      <c r="N13" s="40">
        <f t="shared" si="0"/>
        <v>0.35766298746243258</v>
      </c>
      <c r="O13" s="4"/>
    </row>
    <row r="14" spans="1:15" ht="20.05" customHeight="1" thickTop="1" thickBot="1" x14ac:dyDescent="0.6">
      <c r="A14" s="7" t="s">
        <v>13</v>
      </c>
      <c r="B14" s="29">
        <v>0.62486574671846851</v>
      </c>
      <c r="C14" s="29">
        <v>0.59353921292819556</v>
      </c>
      <c r="D14" s="29">
        <v>0.61810229898440072</v>
      </c>
      <c r="E14" s="29">
        <v>0.58318263395388426</v>
      </c>
      <c r="F14" s="29">
        <v>0.62888050992711708</v>
      </c>
      <c r="G14" s="29">
        <v>0.61688860453731409</v>
      </c>
      <c r="H14" s="29">
        <v>0.61584760729796495</v>
      </c>
      <c r="I14" s="29">
        <v>0.60103350063147776</v>
      </c>
      <c r="J14" s="29">
        <v>0.61973158019062646</v>
      </c>
      <c r="K14" s="29">
        <v>0.59263165329397816</v>
      </c>
      <c r="L14" s="1">
        <v>0.59599999999999997</v>
      </c>
      <c r="M14" s="11">
        <v>0.57999999999999996</v>
      </c>
      <c r="N14" s="35">
        <f t="shared" si="0"/>
        <v>0.60589194570528571</v>
      </c>
      <c r="O14" s="17"/>
    </row>
    <row r="15" spans="1:15" ht="20.05" customHeight="1" thickTop="1" thickBot="1" x14ac:dyDescent="0.6">
      <c r="A15" s="7" t="s">
        <v>14</v>
      </c>
      <c r="B15" s="36">
        <v>0.72853576897582784</v>
      </c>
      <c r="C15" s="37">
        <v>0.78468331456384033</v>
      </c>
      <c r="D15" s="33">
        <v>0.67886508649765809</v>
      </c>
      <c r="E15" s="33">
        <v>0.67300297697565115</v>
      </c>
      <c r="F15" s="37">
        <v>0.7763793869527662</v>
      </c>
      <c r="G15" s="33">
        <v>0.66768641271402185</v>
      </c>
      <c r="H15" s="37">
        <v>0.67916724610129608</v>
      </c>
      <c r="I15" s="33">
        <v>0.68158283671812503</v>
      </c>
      <c r="J15" s="33">
        <v>0.7126315166615067</v>
      </c>
      <c r="K15" s="37">
        <v>0.7316573388578459</v>
      </c>
      <c r="L15" s="12">
        <v>0.72</v>
      </c>
      <c r="M15" s="11">
        <v>0.77800000000000002</v>
      </c>
      <c r="N15" s="25">
        <f t="shared" si="0"/>
        <v>0.71768265708487833</v>
      </c>
      <c r="O15" s="4"/>
    </row>
    <row r="16" spans="1:15" ht="20.05" customHeight="1" thickTop="1" thickBot="1" x14ac:dyDescent="0.6">
      <c r="A16" s="7" t="s">
        <v>16</v>
      </c>
      <c r="B16" s="25">
        <v>0.39486514428420361</v>
      </c>
      <c r="C16" s="33">
        <v>0.33835309470264618</v>
      </c>
      <c r="D16" s="33">
        <v>0.34148169787737997</v>
      </c>
      <c r="E16" s="33">
        <v>0.31305102294769965</v>
      </c>
      <c r="F16" s="33">
        <v>0.34811939110431062</v>
      </c>
      <c r="G16" s="33">
        <v>0.3782879318281005</v>
      </c>
      <c r="H16" s="33">
        <v>0.31531541208864944</v>
      </c>
      <c r="I16" s="33">
        <v>0.36173477483171834</v>
      </c>
      <c r="J16" s="33">
        <v>0.33180874368130303</v>
      </c>
      <c r="K16" s="33">
        <v>0.36369215387786641</v>
      </c>
      <c r="L16" s="12">
        <v>0.38100000000000001</v>
      </c>
      <c r="M16" s="11">
        <v>0.376</v>
      </c>
      <c r="N16" s="25">
        <f t="shared" si="0"/>
        <v>0.35364244726865651</v>
      </c>
      <c r="O16" s="4"/>
    </row>
    <row r="17" spans="1:15" ht="20.05" customHeight="1" thickTop="1" thickBot="1" x14ac:dyDescent="0.6">
      <c r="A17" s="13" t="s">
        <v>15</v>
      </c>
      <c r="B17" s="35">
        <v>0.7146199590344523</v>
      </c>
      <c r="C17" s="38">
        <v>0.725730078438795</v>
      </c>
      <c r="D17" s="34">
        <v>0.78953716376043037</v>
      </c>
      <c r="E17" s="34">
        <v>0.70906789083152799</v>
      </c>
      <c r="F17" s="38">
        <v>0.7388527615202628</v>
      </c>
      <c r="G17" s="34">
        <v>0.75336324090338802</v>
      </c>
      <c r="H17" s="38">
        <v>0.66621297376432265</v>
      </c>
      <c r="I17" s="34">
        <v>0.72354409958940114</v>
      </c>
      <c r="J17" s="34">
        <v>0.79125728817229479</v>
      </c>
      <c r="K17" s="38">
        <v>0.70616500113668179</v>
      </c>
      <c r="L17" s="14">
        <v>0.72299999999999998</v>
      </c>
      <c r="M17" s="39">
        <v>0.77900000000000003</v>
      </c>
      <c r="N17" s="36">
        <f t="shared" si="0"/>
        <v>0.73502920476262978</v>
      </c>
      <c r="O17" s="4"/>
    </row>
    <row r="18" spans="1:15" ht="15.3" thickTop="1" x14ac:dyDescent="0.5500000000000000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</sheetData>
  <mergeCells count="3">
    <mergeCell ref="B1:M1"/>
    <mergeCell ref="A1:A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CLQ0728</dc:creator>
  <cp:lastModifiedBy>Qian Liu</cp:lastModifiedBy>
  <dcterms:created xsi:type="dcterms:W3CDTF">2015-06-05T18:19:34Z</dcterms:created>
  <dcterms:modified xsi:type="dcterms:W3CDTF">2025-11-20T16:02:16Z</dcterms:modified>
</cp:coreProperties>
</file>