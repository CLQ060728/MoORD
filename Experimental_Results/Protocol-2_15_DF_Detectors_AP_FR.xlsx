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7E7A6CF6-F8A4-48A9-B143-49156BC507B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16" i="1"/>
  <c r="O11" i="1"/>
  <c r="O10" i="1"/>
  <c r="O9" i="1"/>
  <c r="O8" i="1"/>
  <c r="O7" i="1"/>
  <c r="O4" i="1"/>
  <c r="O6" i="1"/>
  <c r="O5" i="1"/>
  <c r="O17" i="1"/>
  <c r="O15" i="1"/>
  <c r="O14" i="1"/>
  <c r="O12" i="1"/>
  <c r="O13" i="1"/>
</calcChain>
</file>

<file path=xl/sharedStrings.xml><?xml version="1.0" encoding="utf-8"?>
<sst xmlns="http://schemas.openxmlformats.org/spreadsheetml/2006/main" count="31" uniqueCount="31">
  <si>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</si>
  <si>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</si>
  <si>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</si>
  <si>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</si>
  <si>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</si>
  <si>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</si>
  <si>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</si>
  <si>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</si>
  <si>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</si>
  <si>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</si>
  <si>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</si>
  <si>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</si>
  <si>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</si>
  <si>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</si>
  <si>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</si>
  <si>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</si>
  <si>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</si>
  <si>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FOMM</t>
  </si>
  <si>
    <t>FS_vid2vid</t>
  </si>
  <si>
    <t>Wav2Lip</t>
  </si>
  <si>
    <t>MRAA</t>
  </si>
  <si>
    <t>OneShot</t>
  </si>
  <si>
    <t>PIRender</t>
  </si>
  <si>
    <t>TPSMM</t>
  </si>
  <si>
    <t>LIA</t>
  </si>
  <si>
    <t>DaGAN</t>
  </si>
  <si>
    <t>SadTalker</t>
  </si>
  <si>
    <t>MCNet</t>
  </si>
  <si>
    <t>HyperReenact</t>
  </si>
  <si>
    <t>HeyGen</t>
  </si>
  <si>
    <t>Face Reenactment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</si>
</sst>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/>
      <top style="thick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N16" sqref="N16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7" width="15.68359375" style="1" customWidth="1"/>
    <col min="8" max="9" width="15.62890625" style="1" customWidth="1"/>
    <col min="10" max="12" width="14.9453125" style="1" customWidth="1"/>
    <col min="13" max="14" width="17.734375" style="1" customWidth="1"/>
    <col min="15" max="15" width="20" style="1" customWidth="1"/>
  </cols>
  <sheetData>
    <row r="1" spans="1:16" ht="35.4" customHeight="1" thickTop="1" thickBot="1" x14ac:dyDescent="0.6">
      <c r="A1" s="15" t="s">
        <v>0</v>
      </c>
      <c r="B1" s="12" t="s">
        <v>30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  <c r="O1" s="17" t="s">
        <v>1</v>
      </c>
      <c r="P1" s="4"/>
    </row>
    <row r="2" spans="1:16" ht="18.3" thickTop="1" thickBot="1" x14ac:dyDescent="0.6">
      <c r="A2" s="16"/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11" t="s">
        <v>26</v>
      </c>
      <c r="L2" s="11" t="s">
        <v>27</v>
      </c>
      <c r="M2" s="2" t="s">
        <v>28</v>
      </c>
      <c r="N2" s="9" t="s">
        <v>29</v>
      </c>
      <c r="O2" s="18"/>
      <c r="P2" s="4"/>
    </row>
    <row r="3" spans="1:16" ht="20.05" customHeight="1" thickTop="1" thickBot="1" x14ac:dyDescent="0.6">
      <c r="A3" s="5" t="s">
        <v>2</v>
      </c>
      <c r="B3" s="19">
        <v>0.42093027476298789</v>
      </c>
      <c r="C3" s="20">
        <v>0.36219395609789667</v>
      </c>
      <c r="D3" s="20">
        <v>0.42502433204734974</v>
      </c>
      <c r="E3" s="21">
        <v>0.44356413271609141</v>
      </c>
      <c r="F3" s="20">
        <v>0.38360618254124978</v>
      </c>
      <c r="G3" s="21">
        <v>0.414571129104497</v>
      </c>
      <c r="H3" s="21">
        <v>0.38919910611530389</v>
      </c>
      <c r="I3" s="21">
        <v>0.39521271925353962</v>
      </c>
      <c r="J3" s="20">
        <v>0.38399997597015234</v>
      </c>
      <c r="K3" s="22">
        <v>0.39548838370251116</v>
      </c>
      <c r="L3" s="22">
        <v>0.37939371839950009</v>
      </c>
      <c r="M3" s="21">
        <v>0.36179194989732627</v>
      </c>
      <c r="N3" s="22">
        <v>0.40731851094614507</v>
      </c>
      <c r="O3" s="19">
        <f t="shared" ref="O3:O17" si="0">(B3+N3)/2</f>
        <v>0.41412439285456648</v>
      </c>
      <c r="P3" s="4"/>
    </row>
    <row r="4" spans="1:16" ht="20.05" customHeight="1" thickTop="1" thickBot="1" x14ac:dyDescent="0.6">
      <c r="A4" s="6" t="s">
        <v>3</v>
      </c>
      <c r="B4" s="23">
        <v>0.40516111170401231</v>
      </c>
      <c r="C4" s="20">
        <v>0.42287021432668814</v>
      </c>
      <c r="D4" s="22">
        <v>0.39717969195931196</v>
      </c>
      <c r="E4" s="24">
        <v>0.4496570601195502</v>
      </c>
      <c r="F4" s="22">
        <v>0.44347261223145445</v>
      </c>
      <c r="G4" s="24">
        <v>0.40251625853601908</v>
      </c>
      <c r="H4" s="24">
        <v>0.43901404470510474</v>
      </c>
      <c r="I4" s="24">
        <v>0.46130978886642227</v>
      </c>
      <c r="J4" s="22">
        <v>0.41301638850961858</v>
      </c>
      <c r="K4" s="24">
        <v>0.42956601405762296</v>
      </c>
      <c r="L4" s="24">
        <v>0.43057007333490216</v>
      </c>
      <c r="M4" s="24">
        <v>0.44632799333789591</v>
      </c>
      <c r="N4" s="25">
        <v>0.41880532812483484</v>
      </c>
      <c r="O4" s="23">
        <f t="shared" si="0"/>
        <v>0.41198321991442355</v>
      </c>
      <c r="P4" s="4"/>
    </row>
    <row r="5" spans="1:16" ht="20.05" customHeight="1" thickTop="1" thickBot="1" x14ac:dyDescent="0.6">
      <c r="A5" s="8" t="s">
        <v>4</v>
      </c>
      <c r="B5" s="26">
        <v>0.40843963725900617</v>
      </c>
      <c r="C5" s="22">
        <v>0.42720491984103665</v>
      </c>
      <c r="D5" s="27">
        <v>0.42555023070612658</v>
      </c>
      <c r="E5" s="27">
        <v>0.43405823098972968</v>
      </c>
      <c r="F5" s="27">
        <v>0.380649228108634</v>
      </c>
      <c r="G5" s="27">
        <v>0.36357743642042561</v>
      </c>
      <c r="H5" s="27">
        <v>0.39553766058600692</v>
      </c>
      <c r="I5" s="27">
        <v>0.41867456820593996</v>
      </c>
      <c r="J5" s="27">
        <v>0.36685042758947428</v>
      </c>
      <c r="K5" s="27">
        <v>0.41881030937410968</v>
      </c>
      <c r="L5" s="27">
        <v>0.42158093833987087</v>
      </c>
      <c r="M5" s="27">
        <v>0.39206318150246339</v>
      </c>
      <c r="N5" s="25">
        <v>0.36062904436791393</v>
      </c>
      <c r="O5" s="33">
        <f t="shared" si="0"/>
        <v>0.38453434081346005</v>
      </c>
      <c r="P5" s="4"/>
    </row>
    <row r="6" spans="1:16" ht="20.05" customHeight="1" thickTop="1" thickBot="1" x14ac:dyDescent="0.6">
      <c r="A6" s="7" t="s">
        <v>5</v>
      </c>
      <c r="B6" s="19">
        <v>0.48171329811529173</v>
      </c>
      <c r="C6" s="28">
        <v>0.43034345446841044</v>
      </c>
      <c r="D6" s="28">
        <v>0.46139767909651042</v>
      </c>
      <c r="E6" s="28">
        <v>0.50838939691018536</v>
      </c>
      <c r="F6" s="28">
        <v>0.50085867228392345</v>
      </c>
      <c r="G6" s="28">
        <v>0.4513506147493121</v>
      </c>
      <c r="H6" s="28">
        <v>0.47645407287259856</v>
      </c>
      <c r="I6" s="28">
        <v>0.44380140077028074</v>
      </c>
      <c r="J6" s="28">
        <v>0.47506365923060256</v>
      </c>
      <c r="K6" s="28">
        <v>0.45233484526533141</v>
      </c>
      <c r="L6" s="28">
        <v>0.40644463855673252</v>
      </c>
      <c r="M6" s="28">
        <v>0.47142112259114621</v>
      </c>
      <c r="N6" s="29">
        <v>0.45528036891963747</v>
      </c>
      <c r="O6" s="33">
        <f t="shared" si="0"/>
        <v>0.46849683351746463</v>
      </c>
      <c r="P6" s="4"/>
    </row>
    <row r="7" spans="1:16" ht="20.05" customHeight="1" thickTop="1" thickBot="1" x14ac:dyDescent="0.6">
      <c r="A7" s="5" t="s">
        <v>6</v>
      </c>
      <c r="B7" s="26">
        <v>0.48464377586552743</v>
      </c>
      <c r="C7" s="27">
        <v>0.50952741056190987</v>
      </c>
      <c r="D7" s="27">
        <v>0.4731149257770555</v>
      </c>
      <c r="E7" s="27">
        <v>0.48907586863452879</v>
      </c>
      <c r="F7" s="27">
        <v>0.45275301122392725</v>
      </c>
      <c r="G7" s="27">
        <v>0.43609635308019834</v>
      </c>
      <c r="H7" s="27">
        <v>0.49328357612395013</v>
      </c>
      <c r="I7" s="27">
        <v>0.44834444818870112</v>
      </c>
      <c r="J7" s="27">
        <v>0.4385241415953815</v>
      </c>
      <c r="K7" s="27">
        <v>0.44149589773449233</v>
      </c>
      <c r="L7" s="27">
        <v>0.51865611904193398</v>
      </c>
      <c r="M7" s="27">
        <v>0.48066853482947375</v>
      </c>
      <c r="N7" s="28">
        <v>0.46394656063925993</v>
      </c>
      <c r="O7" s="26">
        <f t="shared" si="0"/>
        <v>0.47429516825239371</v>
      </c>
      <c r="P7" s="4"/>
    </row>
    <row r="8" spans="1:16" ht="20.05" customHeight="1" thickTop="1" thickBot="1" x14ac:dyDescent="0.6">
      <c r="A8" s="5" t="s">
        <v>7</v>
      </c>
      <c r="B8" s="19">
        <v>0.57423428079491112</v>
      </c>
      <c r="C8" s="28">
        <v>0.576588926083069</v>
      </c>
      <c r="D8" s="28">
        <v>0.57174802608381525</v>
      </c>
      <c r="E8" s="28">
        <v>0.58677858744070877</v>
      </c>
      <c r="F8" s="28">
        <v>0.57748901330081504</v>
      </c>
      <c r="G8" s="28">
        <v>0.57864992913703828</v>
      </c>
      <c r="H8" s="28">
        <v>0.56177319269228099</v>
      </c>
      <c r="I8" s="28">
        <v>0.55784831982377447</v>
      </c>
      <c r="J8" s="28">
        <v>0.58759353996528374</v>
      </c>
      <c r="K8" s="28">
        <v>0.56096215910534464</v>
      </c>
      <c r="L8" s="28">
        <v>0.58950604702004938</v>
      </c>
      <c r="M8" s="28">
        <v>0.58570549555045737</v>
      </c>
      <c r="N8" s="29">
        <v>0.56432813974570573</v>
      </c>
      <c r="O8" s="34">
        <f t="shared" si="0"/>
        <v>0.56928121027030842</v>
      </c>
      <c r="P8" s="4"/>
    </row>
    <row r="9" spans="1:16" ht="20.05" customHeight="1" thickTop="1" thickBot="1" x14ac:dyDescent="0.6">
      <c r="A9" s="8" t="s">
        <v>8</v>
      </c>
      <c r="B9" s="23">
        <v>0.43225155410568877</v>
      </c>
      <c r="C9" s="22">
        <v>0.46325816176479867</v>
      </c>
      <c r="D9" s="22">
        <v>0.46219220482541901</v>
      </c>
      <c r="E9" s="22">
        <v>0.4607937553309317</v>
      </c>
      <c r="F9" s="22">
        <v>0.39626888040973057</v>
      </c>
      <c r="G9" s="22">
        <v>0.45808306600432658</v>
      </c>
      <c r="H9" s="22">
        <v>0.47491000659505861</v>
      </c>
      <c r="I9" s="22">
        <v>0.40008809506434956</v>
      </c>
      <c r="J9" s="22">
        <v>0.44286851151500328</v>
      </c>
      <c r="K9" s="22">
        <v>0.44985243546512987</v>
      </c>
      <c r="L9" s="22">
        <v>0.40193830341533704</v>
      </c>
      <c r="M9" s="22">
        <v>0.40088971776555027</v>
      </c>
      <c r="N9" s="29">
        <v>0.37880277460892592</v>
      </c>
      <c r="O9" s="23">
        <f t="shared" si="0"/>
        <v>0.40552716435730735</v>
      </c>
      <c r="P9" s="4"/>
    </row>
    <row r="10" spans="1:16" ht="20.05" customHeight="1" thickTop="1" thickBot="1" x14ac:dyDescent="0.6">
      <c r="A10" s="8" t="s">
        <v>9</v>
      </c>
      <c r="B10" s="19">
        <v>0.48641301352738436</v>
      </c>
      <c r="C10" s="28">
        <v>0.50290173744732403</v>
      </c>
      <c r="D10" s="28">
        <v>0.44439526886084529</v>
      </c>
      <c r="E10" s="28">
        <v>0.40547048636678673</v>
      </c>
      <c r="F10" s="28">
        <v>0.47800519272764785</v>
      </c>
      <c r="G10" s="28">
        <v>0.43292549747120401</v>
      </c>
      <c r="H10" s="28">
        <v>0.44815873846200349</v>
      </c>
      <c r="I10" s="28">
        <v>0.48506048060363327</v>
      </c>
      <c r="J10" s="28">
        <v>0.45949011323090572</v>
      </c>
      <c r="K10" s="28">
        <v>0.45562497602131513</v>
      </c>
      <c r="L10" s="28">
        <v>0.44080032539602954</v>
      </c>
      <c r="M10" s="28">
        <v>0.48702329656380783</v>
      </c>
      <c r="N10" s="29">
        <v>0.41865631666753333</v>
      </c>
      <c r="O10" s="19">
        <f t="shared" si="0"/>
        <v>0.45253466509745888</v>
      </c>
      <c r="P10" s="4"/>
    </row>
    <row r="11" spans="1:16" ht="20.05" customHeight="1" thickTop="1" thickBot="1" x14ac:dyDescent="0.6">
      <c r="A11" s="7" t="s">
        <v>10</v>
      </c>
      <c r="B11" s="19">
        <v>0.57040744699671786</v>
      </c>
      <c r="C11" s="28">
        <v>0.59069918675474176</v>
      </c>
      <c r="D11" s="28">
        <v>0.55909557166279189</v>
      </c>
      <c r="E11" s="28">
        <v>0.59236569317569765</v>
      </c>
      <c r="F11" s="28">
        <v>0.58579119914668387</v>
      </c>
      <c r="G11" s="28">
        <v>0.5853156927240204</v>
      </c>
      <c r="H11" s="28">
        <v>0.5880720216228561</v>
      </c>
      <c r="I11" s="28">
        <v>0.59564974527668624</v>
      </c>
      <c r="J11" s="28">
        <v>0.56022297971259882</v>
      </c>
      <c r="K11" s="28">
        <v>0.59546584004372638</v>
      </c>
      <c r="L11" s="28">
        <v>0.57238488080943439</v>
      </c>
      <c r="M11" s="28">
        <v>0.59257820545385109</v>
      </c>
      <c r="N11" s="29">
        <v>0.57575284903928414</v>
      </c>
      <c r="O11" s="19">
        <f t="shared" si="0"/>
        <v>0.573080148018001</v>
      </c>
      <c r="P11" s="4"/>
    </row>
    <row r="12" spans="1:16" ht="20.05" customHeight="1" thickTop="1" thickBot="1" x14ac:dyDescent="0.6">
      <c r="A12" s="6" t="s">
        <v>11</v>
      </c>
      <c r="B12" s="22">
        <v>0.56831886743453963</v>
      </c>
      <c r="C12" s="22">
        <v>0.57521085531940952</v>
      </c>
      <c r="D12" s="22">
        <v>0.54741320852087416</v>
      </c>
      <c r="E12" s="22">
        <v>0.53751643496807155</v>
      </c>
      <c r="F12" s="22">
        <v>0.53506794899845944</v>
      </c>
      <c r="G12" s="22">
        <v>0.54088764599189965</v>
      </c>
      <c r="H12" s="22">
        <v>0.55799395291578324</v>
      </c>
      <c r="I12" s="22">
        <v>0.56520942190823664</v>
      </c>
      <c r="J12" s="22">
        <v>0.5921174345247332</v>
      </c>
      <c r="K12" s="22">
        <v>0.5571239572772545</v>
      </c>
      <c r="L12" s="22">
        <v>0.55496690958322126</v>
      </c>
      <c r="M12" s="22">
        <v>0.55051286930429966</v>
      </c>
      <c r="N12" s="29">
        <v>0.57517390815408143</v>
      </c>
      <c r="O12" s="23">
        <f t="shared" si="0"/>
        <v>0.57174638779431053</v>
      </c>
      <c r="P12" s="4"/>
    </row>
    <row r="13" spans="1:16" ht="20.05" customHeight="1" thickTop="1" thickBot="1" x14ac:dyDescent="0.6">
      <c r="A13" s="6" t="s">
        <v>12</v>
      </c>
      <c r="B13" s="19">
        <v>0.4667114909255668</v>
      </c>
      <c r="C13" s="28">
        <v>0.44985814558118919</v>
      </c>
      <c r="D13" s="28">
        <v>0.44693083431684599</v>
      </c>
      <c r="E13" s="28">
        <v>0.42677718750219024</v>
      </c>
      <c r="F13" s="28">
        <v>0.43907617387587772</v>
      </c>
      <c r="G13" s="28">
        <v>0.45552994081586995</v>
      </c>
      <c r="H13" s="28">
        <v>0.47906239705499709</v>
      </c>
      <c r="I13" s="28">
        <v>0.40503237878178189</v>
      </c>
      <c r="J13" s="28">
        <v>0.47411263220245831</v>
      </c>
      <c r="K13" s="28">
        <v>0.39500935919375724</v>
      </c>
      <c r="L13" s="28">
        <v>0.46040838315754973</v>
      </c>
      <c r="M13" s="28">
        <v>0.48432336327455555</v>
      </c>
      <c r="N13" s="29">
        <v>0.47395161521757856</v>
      </c>
      <c r="O13" s="34">
        <f t="shared" si="0"/>
        <v>0.47033155307157271</v>
      </c>
      <c r="P13" s="4"/>
    </row>
    <row r="14" spans="1:16" ht="20.05" customHeight="1" thickTop="1" thickBot="1" x14ac:dyDescent="0.6">
      <c r="A14" s="6" t="s">
        <v>13</v>
      </c>
      <c r="B14" s="22">
        <v>0.60713557692024178</v>
      </c>
      <c r="C14" s="22">
        <v>0.60733032230782125</v>
      </c>
      <c r="D14" s="22">
        <v>0.57385436079542285</v>
      </c>
      <c r="E14" s="22">
        <v>0.58466499637088709</v>
      </c>
      <c r="F14" s="22">
        <v>0.60406451928404359</v>
      </c>
      <c r="G14" s="22">
        <v>0.56641387622899675</v>
      </c>
      <c r="H14" s="22">
        <v>0.59753540835667007</v>
      </c>
      <c r="I14" s="22">
        <v>0.56692839479861112</v>
      </c>
      <c r="J14" s="22">
        <v>0.5726082445686097</v>
      </c>
      <c r="K14" s="22">
        <v>0.57546311715770737</v>
      </c>
      <c r="L14" s="22">
        <v>0.59332115763348259</v>
      </c>
      <c r="M14" s="22">
        <v>0.59747725232482496</v>
      </c>
      <c r="N14" s="29">
        <v>0.58817425260369138</v>
      </c>
      <c r="O14" s="34">
        <f t="shared" si="0"/>
        <v>0.59765491476196653</v>
      </c>
    </row>
    <row r="15" spans="1:16" ht="20.05" customHeight="1" thickTop="1" thickBot="1" x14ac:dyDescent="0.6">
      <c r="A15" s="6" t="s">
        <v>14</v>
      </c>
      <c r="B15" s="19">
        <v>0.65884266736163311</v>
      </c>
      <c r="C15" s="28">
        <v>0.64181190675145994</v>
      </c>
      <c r="D15" s="28">
        <v>0.65740614880085646</v>
      </c>
      <c r="E15" s="28">
        <v>0.64134689124145161</v>
      </c>
      <c r="F15" s="28">
        <v>0.63306999033499955</v>
      </c>
      <c r="G15" s="28">
        <v>0.63640262613373455</v>
      </c>
      <c r="H15" s="28">
        <v>0.67248937377269602</v>
      </c>
      <c r="I15" s="28">
        <v>0.64533197172394585</v>
      </c>
      <c r="J15" s="28">
        <v>0.66316623859264878</v>
      </c>
      <c r="K15" s="28">
        <v>0.64873017206477679</v>
      </c>
      <c r="L15" s="28">
        <v>0.64882601633999437</v>
      </c>
      <c r="M15" s="28">
        <v>0.66179761715952812</v>
      </c>
      <c r="N15" s="29">
        <v>0.66307034407149379</v>
      </c>
      <c r="O15" s="19">
        <f t="shared" si="0"/>
        <v>0.66095650571656339</v>
      </c>
      <c r="P15" s="4"/>
    </row>
    <row r="16" spans="1:16" ht="20.05" customHeight="1" thickTop="1" thickBot="1" x14ac:dyDescent="0.6">
      <c r="A16" s="6" t="s">
        <v>16</v>
      </c>
      <c r="B16" s="19">
        <v>0.55245806514186768</v>
      </c>
      <c r="C16" s="28">
        <v>0.59544821286189564</v>
      </c>
      <c r="D16" s="28">
        <v>0.59026587498294625</v>
      </c>
      <c r="E16" s="28">
        <v>0.58017687145022723</v>
      </c>
      <c r="F16" s="28">
        <v>0.58806870784222287</v>
      </c>
      <c r="G16" s="28">
        <v>0.56502026101936631</v>
      </c>
      <c r="H16" s="28">
        <v>0.59673700804790797</v>
      </c>
      <c r="I16" s="28">
        <v>0.57777534821475707</v>
      </c>
      <c r="J16" s="28">
        <v>0.58085831514029662</v>
      </c>
      <c r="K16" s="28">
        <v>0.55566827841913691</v>
      </c>
      <c r="L16" s="28">
        <v>0.59548935187110619</v>
      </c>
      <c r="M16" s="28">
        <v>0.58544203529551431</v>
      </c>
      <c r="N16" s="29">
        <v>0.55577025910653699</v>
      </c>
      <c r="O16" s="23">
        <f t="shared" si="0"/>
        <v>0.55411416212420228</v>
      </c>
      <c r="P16" s="4"/>
    </row>
    <row r="17" spans="1:16" ht="20.05" customHeight="1" thickTop="1" thickBot="1" x14ac:dyDescent="0.6">
      <c r="A17" s="10" t="s">
        <v>15</v>
      </c>
      <c r="B17" s="30">
        <v>0.67666429026653641</v>
      </c>
      <c r="C17" s="31">
        <v>0.69056065913807763</v>
      </c>
      <c r="D17" s="31">
        <v>0.68959805566435139</v>
      </c>
      <c r="E17" s="31">
        <v>0.7030849880151584</v>
      </c>
      <c r="F17" s="31">
        <v>0.68102636438022479</v>
      </c>
      <c r="G17" s="31">
        <v>0.67598526332599129</v>
      </c>
      <c r="H17" s="31">
        <v>0.68116417487590075</v>
      </c>
      <c r="I17" s="31">
        <v>0.66560051057604142</v>
      </c>
      <c r="J17" s="31">
        <v>0.69599466236835061</v>
      </c>
      <c r="K17" s="31">
        <v>0.69025957521142434</v>
      </c>
      <c r="L17" s="31">
        <v>0.69799736507358867</v>
      </c>
      <c r="M17" s="31">
        <v>0.66551881729066265</v>
      </c>
      <c r="N17" s="32">
        <v>0.66735311985740497</v>
      </c>
      <c r="O17" s="35">
        <f t="shared" si="0"/>
        <v>0.67200870506197075</v>
      </c>
      <c r="P17" s="4"/>
    </row>
    <row r="18" spans="1:16" ht="15.3" thickTop="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mergeCells count="3">
    <mergeCell ref="B1:N1"/>
    <mergeCell ref="A1:A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2025-11-20T20:26:33Z</dcterms:modified>
</cp:coreProperties>
</file>